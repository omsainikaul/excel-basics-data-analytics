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d.docs.live.net/e0b1c1742969be41/Documents/"/>
    </mc:Choice>
  </mc:AlternateContent>
  <xr:revisionPtr revIDLastSave="0" documentId="8_{56D27A8D-402B-41F6-9FFA-D4991A903D31}" xr6:coauthVersionLast="47" xr6:coauthVersionMax="47" xr10:uidLastSave="{00000000-0000-0000-0000-000000000000}"/>
  <bookViews>
    <workbookView xWindow="-108" yWindow="-108" windowWidth="23256" windowHeight="13176" xr2:uid="{6319E2D2-D7BE-4EEF-B253-6BD19CB66DDC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I4" i="1" l="1"/>
  <c r="I5" i="1"/>
  <c r="I6" i="1"/>
  <c r="I7" i="1"/>
  <c r="I8" i="1"/>
  <c r="I9" i="1"/>
  <c r="I10" i="1"/>
  <c r="I11" i="1"/>
  <c r="I12" i="1"/>
  <c r="I13" i="1"/>
  <c r="I14" i="1"/>
  <c r="I15" i="1"/>
  <c r="I16" i="1"/>
  <c r="I17" i="1"/>
  <c r="I18" i="1"/>
  <c r="I19" i="1"/>
  <c r="I20" i="1"/>
  <c r="I21" i="1"/>
  <c r="I22" i="1"/>
  <c r="I23" i="1"/>
  <c r="I24" i="1"/>
  <c r="I25" i="1"/>
  <c r="I26" i="1"/>
  <c r="I27" i="1"/>
  <c r="I28" i="1"/>
  <c r="I29" i="1"/>
  <c r="I30" i="1"/>
  <c r="I31" i="1"/>
  <c r="I32" i="1"/>
  <c r="I33" i="1"/>
  <c r="I34" i="1"/>
  <c r="I35" i="1"/>
  <c r="I36" i="1"/>
  <c r="I37" i="1"/>
  <c r="I38" i="1"/>
  <c r="I39" i="1"/>
  <c r="I40" i="1"/>
  <c r="I41" i="1"/>
  <c r="I42" i="1"/>
  <c r="I43" i="1"/>
  <c r="I44" i="1"/>
  <c r="I45" i="1"/>
  <c r="I46" i="1"/>
  <c r="I47" i="1"/>
  <c r="I48" i="1"/>
  <c r="I49" i="1"/>
  <c r="I50" i="1"/>
  <c r="I51" i="1"/>
  <c r="I3" i="1"/>
  <c r="I2" i="1"/>
  <c r="H44" i="1"/>
  <c r="H3" i="1"/>
  <c r="H4" i="1"/>
  <c r="H5" i="1"/>
  <c r="H6" i="1"/>
  <c r="H7" i="1"/>
  <c r="H8" i="1"/>
  <c r="H9" i="1"/>
  <c r="H10" i="1"/>
  <c r="H11" i="1"/>
  <c r="H12" i="1"/>
  <c r="H13" i="1"/>
  <c r="H14" i="1"/>
  <c r="H15" i="1"/>
  <c r="H16" i="1"/>
  <c r="H17" i="1"/>
  <c r="H18" i="1"/>
  <c r="H19" i="1"/>
  <c r="H20" i="1"/>
  <c r="H21" i="1"/>
  <c r="H22" i="1"/>
  <c r="H23" i="1"/>
  <c r="H24" i="1"/>
  <c r="H25" i="1"/>
  <c r="H26" i="1"/>
  <c r="H27" i="1"/>
  <c r="H28" i="1"/>
  <c r="H29" i="1"/>
  <c r="H30" i="1"/>
  <c r="H31" i="1"/>
  <c r="H32" i="1"/>
  <c r="H33" i="1"/>
  <c r="H34" i="1"/>
  <c r="H35" i="1"/>
  <c r="H36" i="1"/>
  <c r="H37" i="1"/>
  <c r="H38" i="1"/>
  <c r="H39" i="1"/>
  <c r="H40" i="1"/>
  <c r="H41" i="1"/>
  <c r="H42" i="1"/>
  <c r="H43" i="1"/>
  <c r="H45" i="1"/>
  <c r="H46" i="1"/>
  <c r="H47" i="1"/>
  <c r="H48" i="1"/>
  <c r="H49" i="1"/>
  <c r="H50" i="1"/>
  <c r="H51" i="1"/>
  <c r="H2" i="1"/>
</calcChain>
</file>

<file path=xl/sharedStrings.xml><?xml version="1.0" encoding="utf-8"?>
<sst xmlns="http://schemas.openxmlformats.org/spreadsheetml/2006/main" count="59" uniqueCount="59">
  <si>
    <t>Roll No</t>
  </si>
  <si>
    <t>Student Name</t>
  </si>
  <si>
    <t>Maths</t>
  </si>
  <si>
    <t>Physics</t>
  </si>
  <si>
    <t>Chemistry</t>
  </si>
  <si>
    <t>English</t>
  </si>
  <si>
    <t>Computer</t>
  </si>
  <si>
    <t>Student 1</t>
  </si>
  <si>
    <t>Student 2</t>
  </si>
  <si>
    <t>Student 3</t>
  </si>
  <si>
    <t>Student 4</t>
  </si>
  <si>
    <t>Student 5</t>
  </si>
  <si>
    <t>Student 6</t>
  </si>
  <si>
    <t>Student 7</t>
  </si>
  <si>
    <t>Student 8</t>
  </si>
  <si>
    <t>Student 9</t>
  </si>
  <si>
    <t>Student 10</t>
  </si>
  <si>
    <t>Student 11</t>
  </si>
  <si>
    <t>Student 12</t>
  </si>
  <si>
    <t>Student 13</t>
  </si>
  <si>
    <t>Student 14</t>
  </si>
  <si>
    <t>Student 15</t>
  </si>
  <si>
    <t>Student 16</t>
  </si>
  <si>
    <t>Student 17</t>
  </si>
  <si>
    <t>Student 18</t>
  </si>
  <si>
    <t>Student 19</t>
  </si>
  <si>
    <t>Student 20</t>
  </si>
  <si>
    <t>Student 21</t>
  </si>
  <si>
    <t>Student 22</t>
  </si>
  <si>
    <t>Student 23</t>
  </si>
  <si>
    <t>Student 24</t>
  </si>
  <si>
    <t>Student 25</t>
  </si>
  <si>
    <t>Student 26</t>
  </si>
  <si>
    <t>Student 27</t>
  </si>
  <si>
    <t>Student 28</t>
  </si>
  <si>
    <t>Student 29</t>
  </si>
  <si>
    <t>Student 30</t>
  </si>
  <si>
    <t>Student 31</t>
  </si>
  <si>
    <t>Student 32</t>
  </si>
  <si>
    <t>Student 33</t>
  </si>
  <si>
    <t>Student 34</t>
  </si>
  <si>
    <t>Student 35</t>
  </si>
  <si>
    <t>Student 36</t>
  </si>
  <si>
    <t>Student 37</t>
  </si>
  <si>
    <t>Student 38</t>
  </si>
  <si>
    <t>Student 39</t>
  </si>
  <si>
    <t>Student 40</t>
  </si>
  <si>
    <t>Student 41</t>
  </si>
  <si>
    <t>Student 42</t>
  </si>
  <si>
    <t>Student 43</t>
  </si>
  <si>
    <t>Student 44</t>
  </si>
  <si>
    <t>Student 45</t>
  </si>
  <si>
    <t>Student 46</t>
  </si>
  <si>
    <t>Student 47</t>
  </si>
  <si>
    <t>Student 48</t>
  </si>
  <si>
    <t>Student 49</t>
  </si>
  <si>
    <t>Student 50</t>
  </si>
  <si>
    <t>Percentage</t>
  </si>
  <si>
    <t>Result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</si>
</sst>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b/>
      <i/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9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</borders>
  <cellStyleXfs count="2">
    <xf numFmtId="0" fontId="0" fillId="0" borderId="0"/>
    <xf numFmtId="9" fontId="1" fillId="0" borderId="0" applyFont="0" applyFill="0" applyBorder="0" applyAlignment="0" applyProtection="0"/>
  </cellStyleXfs>
  <cellXfs count="16">
    <xf numFmtId="0" fontId="0" fillId="0" borderId="0" xfId="0"/>
    <xf numFmtId="0" fontId="2" fillId="0" borderId="0" xfId="0" applyFont="1"/>
    <xf numFmtId="0" fontId="3" fillId="0" borderId="0" xfId="0" applyFont="1"/>
    <xf numFmtId="0" fontId="3" fillId="0" borderId="1" xfId="0" applyFont="1" applyBorder="1"/>
    <xf numFmtId="0" fontId="0" fillId="0" borderId="1" xfId="0" applyBorder="1"/>
    <xf numFmtId="10" fontId="0" fillId="0" borderId="1" xfId="1" applyNumberFormat="1" applyFont="1" applyBorder="1"/>
    <xf numFmtId="0" fontId="2" fillId="0" borderId="2" xfId="0" applyFont="1" applyBorder="1" applyAlignment="1">
      <alignment horizontal="center"/>
    </xf>
    <xf numFmtId="0" fontId="3" fillId="0" borderId="3" xfId="0" applyFont="1" applyBorder="1" applyAlignment="1">
      <alignment horizontal="center"/>
    </xf>
    <xf numFmtId="0" fontId="2" fillId="0" borderId="3" xfId="0" applyFont="1" applyBorder="1" applyAlignment="1">
      <alignment horizontal="center"/>
    </xf>
    <xf numFmtId="0" fontId="2" fillId="0" borderId="4" xfId="0" applyFont="1" applyBorder="1" applyAlignment="1">
      <alignment horizontal="center"/>
    </xf>
    <xf numFmtId="0" fontId="2" fillId="0" borderId="5" xfId="0" applyFont="1" applyBorder="1"/>
    <xf numFmtId="0" fontId="0" fillId="0" borderId="6" xfId="0" applyBorder="1"/>
    <xf numFmtId="0" fontId="2" fillId="0" borderId="7" xfId="0" applyFont="1" applyBorder="1"/>
    <xf numFmtId="0" fontId="3" fillId="0" borderId="8" xfId="0" applyFont="1" applyBorder="1"/>
    <xf numFmtId="0" fontId="0" fillId="0" borderId="8" xfId="0" applyBorder="1"/>
    <xf numFmtId="10" fontId="0" fillId="0" borderId="8" xfId="1" applyNumberFormat="1" applyFont="1" applyBorder="1"/>
  </cellXfs>
  <cellStyles count="2">
    <cellStyle name="Normal" xfId="0" builtinId="0"/>
    <cellStyle name="Percent" xfId="1" builtinId="5"/>
  </cellStyles>
  <dxfs count="83"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9D8712A-6062-423F-9D9C-0396714ED837}">
  <dimension ref="A1:I51"/>
  <sheetViews>
    <sheetView tabSelected="1" zoomScale="175" zoomScaleNormal="175" workbookViewId="0">
      <selection activeCell="K4" sqref="K4"/>
    </sheetView>
  </sheetViews>
  <sheetFormatPr defaultColWidth="8.77734375" defaultRowHeight="14.4" x14ac:dyDescent="0.3"/>
  <cols>
    <col min="1" max="1" width="6.6640625" style="1" bestFit="1" customWidth="1"/>
    <col min="2" max="2" width="12.44140625" style="2" bestFit="1" customWidth="1"/>
    <col min="3" max="3" width="5.88671875" bestFit="1" customWidth="1"/>
    <col min="4" max="4" width="7.109375" bestFit="1" customWidth="1"/>
    <col min="5" max="5" width="9.21875" bestFit="1" customWidth="1"/>
    <col min="6" max="6" width="6.6640625" bestFit="1" customWidth="1"/>
    <col min="7" max="7" width="9" bestFit="1" customWidth="1"/>
    <col min="8" max="8" width="11.5546875" bestFit="1" customWidth="1"/>
  </cols>
  <sheetData>
    <row r="1" spans="1:9" x14ac:dyDescent="0.3">
      <c r="A1" s="6" t="s">
        <v>0</v>
      </c>
      <c r="B1" s="7" t="s">
        <v>1</v>
      </c>
      <c r="C1" s="8" t="s">
        <v>2</v>
      </c>
      <c r="D1" s="8" t="s">
        <v>3</v>
      </c>
      <c r="E1" s="8" t="s">
        <v>4</v>
      </c>
      <c r="F1" s="8" t="s">
        <v>5</v>
      </c>
      <c r="G1" s="8" t="s">
        <v>6</v>
      </c>
      <c r="H1" s="8" t="s">
        <v>57</v>
      </c>
      <c r="I1" s="9" t="s">
        <v>58</v>
      </c>
    </row>
    <row r="2" spans="1:9" x14ac:dyDescent="0.3">
      <c r="A2" s="10">
        <v>1</v>
      </c>
      <c r="B2" s="3" t="s">
        <v>7</v>
      </c>
      <c r="C2" s="4">
        <v>23</v>
      </c>
      <c r="D2" s="4">
        <v>12</v>
      </c>
      <c r="E2" s="4">
        <v>6</v>
      </c>
      <c r="F2" s="4">
        <v>23</v>
      </c>
      <c r="G2" s="4">
        <v>14</v>
      </c>
      <c r="H2" s="5">
        <f>SUM(C2:G2)/500</f>
        <v>0.156</v>
      </c>
      <c r="I2" s="11" t="str">
        <f>IF(H2&gt;=0.23, "Pass", "Fail")</f>
        <v>Fail</v>
      </c>
    </row>
    <row r="3" spans="1:9" x14ac:dyDescent="0.3">
      <c r="A3" s="10">
        <v>2</v>
      </c>
      <c r="B3" s="3" t="s">
        <v>8</v>
      </c>
      <c r="C3" s="4">
        <v>46</v>
      </c>
      <c r="D3" s="4">
        <v>85</v>
      </c>
      <c r="E3" s="4">
        <v>50</v>
      </c>
      <c r="F3" s="4">
        <v>62</v>
      </c>
      <c r="G3" s="4">
        <v>56</v>
      </c>
      <c r="H3" s="5">
        <f t="shared" ref="H3:H51" si="0">SUM(C3:G3)/500</f>
        <v>0.59799999999999998</v>
      </c>
      <c r="I3" s="11" t="str">
        <f t="shared" ref="I3:I51" si="1">IF(H3&gt;=0.23, "Pass", "Fail")</f>
        <v>Pass</v>
      </c>
    </row>
    <row r="4" spans="1:9" x14ac:dyDescent="0.3">
      <c r="A4" s="10">
        <v>3</v>
      </c>
      <c r="B4" s="3" t="s">
        <v>9</v>
      </c>
      <c r="C4" s="4">
        <v>18</v>
      </c>
      <c r="D4" s="4">
        <v>53</v>
      </c>
      <c r="E4" s="4">
        <v>91</v>
      </c>
      <c r="F4" s="4">
        <v>51</v>
      </c>
      <c r="G4" s="4">
        <v>59</v>
      </c>
      <c r="H4" s="5">
        <f t="shared" si="0"/>
        <v>0.54400000000000004</v>
      </c>
      <c r="I4" s="11" t="str">
        <f t="shared" si="1"/>
        <v>Pass</v>
      </c>
    </row>
    <row r="5" spans="1:9" x14ac:dyDescent="0.3">
      <c r="A5" s="10">
        <v>4</v>
      </c>
      <c r="B5" s="3" t="s">
        <v>10</v>
      </c>
      <c r="C5" s="4">
        <v>33</v>
      </c>
      <c r="D5" s="4">
        <v>16</v>
      </c>
      <c r="E5" s="4">
        <v>12</v>
      </c>
      <c r="F5" s="4">
        <v>21</v>
      </c>
      <c r="G5" s="4">
        <v>26</v>
      </c>
      <c r="H5" s="5">
        <f t="shared" si="0"/>
        <v>0.216</v>
      </c>
      <c r="I5" s="11" t="str">
        <f t="shared" si="1"/>
        <v>Fail</v>
      </c>
    </row>
    <row r="6" spans="1:9" x14ac:dyDescent="0.3">
      <c r="A6" s="10">
        <v>5</v>
      </c>
      <c r="B6" s="3" t="s">
        <v>11</v>
      </c>
      <c r="C6" s="4">
        <v>26</v>
      </c>
      <c r="D6" s="4">
        <v>14</v>
      </c>
      <c r="E6" s="4">
        <v>62</v>
      </c>
      <c r="F6" s="4">
        <v>5</v>
      </c>
      <c r="G6" s="4">
        <v>65</v>
      </c>
      <c r="H6" s="5">
        <f t="shared" si="0"/>
        <v>0.34399999999999997</v>
      </c>
      <c r="I6" s="11" t="str">
        <f t="shared" si="1"/>
        <v>Pass</v>
      </c>
    </row>
    <row r="7" spans="1:9" x14ac:dyDescent="0.3">
      <c r="A7" s="10">
        <v>6</v>
      </c>
      <c r="B7" s="3" t="s">
        <v>12</v>
      </c>
      <c r="C7" s="4">
        <v>12</v>
      </c>
      <c r="D7" s="4">
        <v>68</v>
      </c>
      <c r="E7" s="4">
        <v>66</v>
      </c>
      <c r="F7" s="4">
        <v>57</v>
      </c>
      <c r="G7" s="4">
        <v>68</v>
      </c>
      <c r="H7" s="5">
        <f t="shared" si="0"/>
        <v>0.54200000000000004</v>
      </c>
      <c r="I7" s="11" t="str">
        <f t="shared" si="1"/>
        <v>Pass</v>
      </c>
    </row>
    <row r="8" spans="1:9" x14ac:dyDescent="0.3">
      <c r="A8" s="10">
        <v>7</v>
      </c>
      <c r="B8" s="3" t="s">
        <v>13</v>
      </c>
      <c r="C8" s="4">
        <v>45</v>
      </c>
      <c r="D8" s="4">
        <v>73</v>
      </c>
      <c r="E8" s="4">
        <v>70</v>
      </c>
      <c r="F8" s="4">
        <v>59</v>
      </c>
      <c r="G8" s="4">
        <v>71</v>
      </c>
      <c r="H8" s="5">
        <f t="shared" si="0"/>
        <v>0.63600000000000001</v>
      </c>
      <c r="I8" s="11" t="str">
        <f t="shared" si="1"/>
        <v>Pass</v>
      </c>
    </row>
    <row r="9" spans="1:9" x14ac:dyDescent="0.3">
      <c r="A9" s="10">
        <v>8</v>
      </c>
      <c r="B9" s="3" t="s">
        <v>14</v>
      </c>
      <c r="C9" s="4">
        <v>22</v>
      </c>
      <c r="D9" s="4">
        <v>15</v>
      </c>
      <c r="E9" s="4">
        <v>12</v>
      </c>
      <c r="F9" s="4">
        <v>38</v>
      </c>
      <c r="G9" s="4">
        <v>21</v>
      </c>
      <c r="H9" s="5">
        <f t="shared" si="0"/>
        <v>0.216</v>
      </c>
      <c r="I9" s="11" t="str">
        <f t="shared" si="1"/>
        <v>Fail</v>
      </c>
    </row>
    <row r="10" spans="1:9" x14ac:dyDescent="0.3">
      <c r="A10" s="10">
        <v>9</v>
      </c>
      <c r="B10" s="3" t="s">
        <v>15</v>
      </c>
      <c r="C10" s="4">
        <v>15</v>
      </c>
      <c r="D10" s="4">
        <v>83</v>
      </c>
      <c r="E10" s="4">
        <v>78</v>
      </c>
      <c r="F10" s="4">
        <v>63</v>
      </c>
      <c r="G10" s="4">
        <v>77</v>
      </c>
      <c r="H10" s="5">
        <f t="shared" si="0"/>
        <v>0.63200000000000001</v>
      </c>
      <c r="I10" s="11" t="str">
        <f t="shared" si="1"/>
        <v>Pass</v>
      </c>
    </row>
    <row r="11" spans="1:9" x14ac:dyDescent="0.3">
      <c r="A11" s="10">
        <v>10</v>
      </c>
      <c r="B11" s="3" t="s">
        <v>16</v>
      </c>
      <c r="C11" s="4">
        <v>1</v>
      </c>
      <c r="D11" s="4">
        <v>15</v>
      </c>
      <c r="E11" s="4">
        <v>21</v>
      </c>
      <c r="F11" s="4">
        <v>32</v>
      </c>
      <c r="G11" s="4">
        <v>8</v>
      </c>
      <c r="H11" s="5">
        <f t="shared" si="0"/>
        <v>0.154</v>
      </c>
      <c r="I11" s="11" t="str">
        <f t="shared" si="1"/>
        <v>Fail</v>
      </c>
    </row>
    <row r="12" spans="1:9" x14ac:dyDescent="0.3">
      <c r="A12" s="10">
        <v>11</v>
      </c>
      <c r="B12" s="3" t="s">
        <v>17</v>
      </c>
      <c r="C12" s="4">
        <v>16</v>
      </c>
      <c r="D12" s="4">
        <v>93</v>
      </c>
      <c r="E12" s="4">
        <v>86</v>
      </c>
      <c r="F12" s="4">
        <v>67</v>
      </c>
      <c r="G12" s="4">
        <v>83</v>
      </c>
      <c r="H12" s="5">
        <f t="shared" si="0"/>
        <v>0.69</v>
      </c>
      <c r="I12" s="11" t="str">
        <f t="shared" si="1"/>
        <v>Pass</v>
      </c>
    </row>
    <row r="13" spans="1:9" x14ac:dyDescent="0.3">
      <c r="A13" s="10">
        <v>12</v>
      </c>
      <c r="B13" s="3" t="s">
        <v>18</v>
      </c>
      <c r="C13" s="4">
        <v>9</v>
      </c>
      <c r="D13" s="4">
        <v>98</v>
      </c>
      <c r="E13" s="4">
        <v>90</v>
      </c>
      <c r="F13" s="4">
        <v>69</v>
      </c>
      <c r="G13" s="4">
        <v>86</v>
      </c>
      <c r="H13" s="5">
        <f t="shared" si="0"/>
        <v>0.70399999999999996</v>
      </c>
      <c r="I13" s="11" t="str">
        <f t="shared" si="1"/>
        <v>Pass</v>
      </c>
    </row>
    <row r="14" spans="1:9" x14ac:dyDescent="0.3">
      <c r="A14" s="10">
        <v>13</v>
      </c>
      <c r="B14" s="3" t="s">
        <v>19</v>
      </c>
      <c r="C14" s="4">
        <v>48</v>
      </c>
      <c r="D14" s="4">
        <v>32</v>
      </c>
      <c r="E14" s="4">
        <v>18</v>
      </c>
      <c r="F14" s="4">
        <v>12</v>
      </c>
      <c r="G14" s="4">
        <v>3</v>
      </c>
      <c r="H14" s="5">
        <f t="shared" si="0"/>
        <v>0.22600000000000001</v>
      </c>
      <c r="I14" s="11" t="str">
        <f t="shared" si="1"/>
        <v>Fail</v>
      </c>
    </row>
    <row r="15" spans="1:9" x14ac:dyDescent="0.3">
      <c r="A15" s="10">
        <v>14</v>
      </c>
      <c r="B15" s="3" t="s">
        <v>20</v>
      </c>
      <c r="C15" s="4">
        <v>19</v>
      </c>
      <c r="D15" s="4">
        <v>12</v>
      </c>
      <c r="E15" s="4">
        <v>15</v>
      </c>
      <c r="F15" s="4">
        <v>23</v>
      </c>
      <c r="G15" s="4">
        <v>21</v>
      </c>
      <c r="H15" s="5">
        <f t="shared" si="0"/>
        <v>0.18</v>
      </c>
      <c r="I15" s="11" t="str">
        <f t="shared" si="1"/>
        <v>Fail</v>
      </c>
    </row>
    <row r="16" spans="1:9" x14ac:dyDescent="0.3">
      <c r="A16" s="10">
        <v>15</v>
      </c>
      <c r="B16" s="3" t="s">
        <v>21</v>
      </c>
      <c r="C16" s="4">
        <v>15</v>
      </c>
      <c r="D16" s="4">
        <v>50</v>
      </c>
      <c r="E16" s="4">
        <v>43</v>
      </c>
      <c r="F16" s="4">
        <v>75</v>
      </c>
      <c r="G16" s="4">
        <v>95</v>
      </c>
      <c r="H16" s="5">
        <f t="shared" si="0"/>
        <v>0.55600000000000005</v>
      </c>
      <c r="I16" s="11" t="str">
        <f t="shared" si="1"/>
        <v>Pass</v>
      </c>
    </row>
    <row r="17" spans="1:9" x14ac:dyDescent="0.3">
      <c r="A17" s="10">
        <v>16</v>
      </c>
      <c r="B17" s="3" t="s">
        <v>22</v>
      </c>
      <c r="C17" s="4">
        <v>22</v>
      </c>
      <c r="D17" s="4">
        <v>55</v>
      </c>
      <c r="E17" s="4">
        <v>47</v>
      </c>
      <c r="F17" s="4">
        <v>77</v>
      </c>
      <c r="G17" s="4">
        <v>98</v>
      </c>
      <c r="H17" s="5">
        <f t="shared" si="0"/>
        <v>0.59799999999999998</v>
      </c>
      <c r="I17" s="11" t="str">
        <f t="shared" si="1"/>
        <v>Pass</v>
      </c>
    </row>
    <row r="18" spans="1:9" x14ac:dyDescent="0.3">
      <c r="A18" s="10">
        <v>17</v>
      </c>
      <c r="B18" s="3" t="s">
        <v>23</v>
      </c>
      <c r="C18" s="4">
        <v>26</v>
      </c>
      <c r="D18" s="4">
        <v>60</v>
      </c>
      <c r="E18" s="4">
        <v>51</v>
      </c>
      <c r="F18" s="4">
        <v>79</v>
      </c>
      <c r="G18" s="4">
        <v>50</v>
      </c>
      <c r="H18" s="5">
        <f t="shared" si="0"/>
        <v>0.53200000000000003</v>
      </c>
      <c r="I18" s="11" t="str">
        <f t="shared" si="1"/>
        <v>Pass</v>
      </c>
    </row>
    <row r="19" spans="1:9" x14ac:dyDescent="0.3">
      <c r="A19" s="10">
        <v>18</v>
      </c>
      <c r="B19" s="3" t="s">
        <v>24</v>
      </c>
      <c r="C19" s="4">
        <v>12</v>
      </c>
      <c r="D19" s="4">
        <v>23</v>
      </c>
      <c r="E19" s="4">
        <v>19</v>
      </c>
      <c r="F19" s="4">
        <v>35</v>
      </c>
      <c r="G19" s="4">
        <v>45</v>
      </c>
      <c r="H19" s="5">
        <f t="shared" si="0"/>
        <v>0.26800000000000002</v>
      </c>
      <c r="I19" s="11" t="str">
        <f t="shared" si="1"/>
        <v>Pass</v>
      </c>
    </row>
    <row r="20" spans="1:9" x14ac:dyDescent="0.3">
      <c r="A20" s="10">
        <v>19</v>
      </c>
      <c r="B20" s="3" t="s">
        <v>25</v>
      </c>
      <c r="C20" s="4">
        <v>32</v>
      </c>
      <c r="D20" s="4">
        <v>70</v>
      </c>
      <c r="E20" s="4">
        <v>59</v>
      </c>
      <c r="F20" s="4">
        <v>83</v>
      </c>
      <c r="G20" s="4">
        <v>56</v>
      </c>
      <c r="H20" s="5">
        <f t="shared" si="0"/>
        <v>0.6</v>
      </c>
      <c r="I20" s="11" t="str">
        <f t="shared" si="1"/>
        <v>Pass</v>
      </c>
    </row>
    <row r="21" spans="1:9" x14ac:dyDescent="0.3">
      <c r="A21" s="10">
        <v>20</v>
      </c>
      <c r="B21" s="3" t="s">
        <v>26</v>
      </c>
      <c r="C21" s="4">
        <v>16</v>
      </c>
      <c r="D21" s="4">
        <v>75</v>
      </c>
      <c r="E21" s="4">
        <v>63</v>
      </c>
      <c r="F21" s="4">
        <v>85</v>
      </c>
      <c r="G21" s="4">
        <v>59</v>
      </c>
      <c r="H21" s="5">
        <f t="shared" si="0"/>
        <v>0.59599999999999997</v>
      </c>
      <c r="I21" s="11" t="str">
        <f t="shared" si="1"/>
        <v>Pass</v>
      </c>
    </row>
    <row r="22" spans="1:9" x14ac:dyDescent="0.3">
      <c r="A22" s="10">
        <v>21</v>
      </c>
      <c r="B22" s="3" t="s">
        <v>27</v>
      </c>
      <c r="C22" s="4">
        <v>42</v>
      </c>
      <c r="D22" s="4">
        <v>15</v>
      </c>
      <c r="E22" s="4">
        <v>11</v>
      </c>
      <c r="F22" s="4">
        <v>3</v>
      </c>
      <c r="G22" s="4">
        <v>43</v>
      </c>
      <c r="H22" s="5">
        <f t="shared" si="0"/>
        <v>0.22800000000000001</v>
      </c>
      <c r="I22" s="11" t="str">
        <f t="shared" si="1"/>
        <v>Fail</v>
      </c>
    </row>
    <row r="23" spans="1:9" x14ac:dyDescent="0.3">
      <c r="A23" s="10">
        <v>22</v>
      </c>
      <c r="B23" s="3" t="s">
        <v>28</v>
      </c>
      <c r="C23" s="4">
        <v>21</v>
      </c>
      <c r="D23" s="4">
        <v>85</v>
      </c>
      <c r="E23" s="4">
        <v>71</v>
      </c>
      <c r="F23" s="4">
        <v>89</v>
      </c>
      <c r="G23" s="4">
        <v>65</v>
      </c>
      <c r="H23" s="5">
        <f t="shared" si="0"/>
        <v>0.66200000000000003</v>
      </c>
      <c r="I23" s="11" t="str">
        <f t="shared" si="1"/>
        <v>Pass</v>
      </c>
    </row>
    <row r="24" spans="1:9" x14ac:dyDescent="0.3">
      <c r="A24" s="10">
        <v>23</v>
      </c>
      <c r="B24" s="3" t="s">
        <v>29</v>
      </c>
      <c r="C24" s="4">
        <v>13</v>
      </c>
      <c r="D24" s="4">
        <v>90</v>
      </c>
      <c r="E24" s="4">
        <v>75</v>
      </c>
      <c r="F24" s="4">
        <v>91</v>
      </c>
      <c r="G24" s="4">
        <v>68</v>
      </c>
      <c r="H24" s="5">
        <f t="shared" si="0"/>
        <v>0.67400000000000004</v>
      </c>
      <c r="I24" s="11" t="str">
        <f t="shared" si="1"/>
        <v>Pass</v>
      </c>
    </row>
    <row r="25" spans="1:9" x14ac:dyDescent="0.3">
      <c r="A25" s="10">
        <v>24</v>
      </c>
      <c r="B25" s="3" t="s">
        <v>30</v>
      </c>
      <c r="C25" s="4">
        <v>10</v>
      </c>
      <c r="D25" s="4">
        <v>95</v>
      </c>
      <c r="E25" s="4">
        <v>79</v>
      </c>
      <c r="F25" s="4">
        <v>93</v>
      </c>
      <c r="G25" s="4">
        <v>71</v>
      </c>
      <c r="H25" s="5">
        <f t="shared" si="0"/>
        <v>0.69599999999999995</v>
      </c>
      <c r="I25" s="11" t="str">
        <f t="shared" si="1"/>
        <v>Pass</v>
      </c>
    </row>
    <row r="26" spans="1:9" x14ac:dyDescent="0.3">
      <c r="A26" s="10">
        <v>25</v>
      </c>
      <c r="B26" s="3" t="s">
        <v>31</v>
      </c>
      <c r="C26" s="4">
        <v>100</v>
      </c>
      <c r="D26" s="4">
        <v>52</v>
      </c>
      <c r="E26" s="4">
        <v>5</v>
      </c>
      <c r="F26" s="4">
        <v>95</v>
      </c>
      <c r="G26" s="4">
        <v>74</v>
      </c>
      <c r="H26" s="5">
        <f t="shared" si="0"/>
        <v>0.65200000000000002</v>
      </c>
      <c r="I26" s="11" t="str">
        <f t="shared" si="1"/>
        <v>Pass</v>
      </c>
    </row>
    <row r="27" spans="1:9" x14ac:dyDescent="0.3">
      <c r="A27" s="10">
        <v>26</v>
      </c>
      <c r="B27" s="3" t="s">
        <v>32</v>
      </c>
      <c r="C27" s="4">
        <v>30</v>
      </c>
      <c r="D27" s="4">
        <v>42</v>
      </c>
      <c r="E27" s="4">
        <v>22</v>
      </c>
      <c r="F27" s="4">
        <v>97</v>
      </c>
      <c r="G27" s="4">
        <v>77</v>
      </c>
      <c r="H27" s="5">
        <f t="shared" si="0"/>
        <v>0.53600000000000003</v>
      </c>
      <c r="I27" s="11" t="str">
        <f t="shared" si="1"/>
        <v>Pass</v>
      </c>
    </row>
    <row r="28" spans="1:9" x14ac:dyDescent="0.3">
      <c r="A28" s="10">
        <v>27</v>
      </c>
      <c r="B28" s="3" t="s">
        <v>33</v>
      </c>
      <c r="C28" s="4">
        <v>22</v>
      </c>
      <c r="D28" s="4">
        <v>16</v>
      </c>
      <c r="E28" s="4">
        <v>20</v>
      </c>
      <c r="F28" s="4">
        <v>38</v>
      </c>
      <c r="G28" s="4">
        <v>18</v>
      </c>
      <c r="H28" s="5">
        <f t="shared" si="0"/>
        <v>0.22800000000000001</v>
      </c>
      <c r="I28" s="11" t="str">
        <f t="shared" si="1"/>
        <v>Fail</v>
      </c>
    </row>
    <row r="29" spans="1:9" x14ac:dyDescent="0.3">
      <c r="A29" s="10">
        <v>28</v>
      </c>
      <c r="B29" s="3" t="s">
        <v>34</v>
      </c>
      <c r="C29" s="4">
        <v>32</v>
      </c>
      <c r="D29" s="4">
        <v>52</v>
      </c>
      <c r="E29" s="4">
        <v>95</v>
      </c>
      <c r="F29" s="4">
        <v>41</v>
      </c>
      <c r="G29" s="4">
        <v>83</v>
      </c>
      <c r="H29" s="5">
        <f t="shared" si="0"/>
        <v>0.60599999999999998</v>
      </c>
      <c r="I29" s="11" t="str">
        <f t="shared" si="1"/>
        <v>Pass</v>
      </c>
    </row>
    <row r="30" spans="1:9" x14ac:dyDescent="0.3">
      <c r="A30" s="10">
        <v>29</v>
      </c>
      <c r="B30" s="3" t="s">
        <v>35</v>
      </c>
      <c r="C30" s="4">
        <v>50</v>
      </c>
      <c r="D30" s="4">
        <v>57</v>
      </c>
      <c r="E30" s="4">
        <v>99</v>
      </c>
      <c r="F30" s="4">
        <v>48</v>
      </c>
      <c r="G30" s="4">
        <v>86</v>
      </c>
      <c r="H30" s="5">
        <f t="shared" si="0"/>
        <v>0.68</v>
      </c>
      <c r="I30" s="11" t="str">
        <f t="shared" si="1"/>
        <v>Pass</v>
      </c>
    </row>
    <row r="31" spans="1:9" x14ac:dyDescent="0.3">
      <c r="A31" s="10">
        <v>30</v>
      </c>
      <c r="B31" s="3" t="s">
        <v>36</v>
      </c>
      <c r="C31" s="4">
        <v>34</v>
      </c>
      <c r="D31" s="4">
        <v>15</v>
      </c>
      <c r="E31" s="4">
        <v>23</v>
      </c>
      <c r="F31" s="4">
        <v>21</v>
      </c>
      <c r="G31" s="4">
        <v>2</v>
      </c>
      <c r="H31" s="5">
        <f t="shared" si="0"/>
        <v>0.19</v>
      </c>
      <c r="I31" s="11" t="str">
        <f t="shared" si="1"/>
        <v>Fail</v>
      </c>
    </row>
    <row r="32" spans="1:9" x14ac:dyDescent="0.3">
      <c r="A32" s="10">
        <v>31</v>
      </c>
      <c r="B32" s="3" t="s">
        <v>37</v>
      </c>
      <c r="C32" s="4">
        <v>46</v>
      </c>
      <c r="D32" s="4">
        <v>67</v>
      </c>
      <c r="E32" s="4">
        <v>48</v>
      </c>
      <c r="F32" s="4">
        <v>52</v>
      </c>
      <c r="G32" s="4">
        <v>92</v>
      </c>
      <c r="H32" s="5">
        <f t="shared" si="0"/>
        <v>0.61</v>
      </c>
      <c r="I32" s="11" t="str">
        <f t="shared" si="1"/>
        <v>Pass</v>
      </c>
    </row>
    <row r="33" spans="1:9" x14ac:dyDescent="0.3">
      <c r="A33" s="10">
        <v>32</v>
      </c>
      <c r="B33" s="3" t="s">
        <v>38</v>
      </c>
      <c r="C33" s="4">
        <v>32</v>
      </c>
      <c r="D33" s="4">
        <v>18</v>
      </c>
      <c r="E33" s="4">
        <v>1</v>
      </c>
      <c r="F33" s="4">
        <v>12</v>
      </c>
      <c r="G33" s="4">
        <v>24</v>
      </c>
      <c r="H33" s="5">
        <f t="shared" si="0"/>
        <v>0.17399999999999999</v>
      </c>
      <c r="I33" s="11" t="str">
        <f t="shared" si="1"/>
        <v>Fail</v>
      </c>
    </row>
    <row r="34" spans="1:9" x14ac:dyDescent="0.3">
      <c r="A34" s="10">
        <v>33</v>
      </c>
      <c r="B34" s="3" t="s">
        <v>39</v>
      </c>
      <c r="C34" s="4">
        <v>21</v>
      </c>
      <c r="D34" s="4">
        <v>77</v>
      </c>
      <c r="E34" s="4">
        <v>56</v>
      </c>
      <c r="F34" s="4">
        <v>56</v>
      </c>
      <c r="G34" s="4">
        <v>98</v>
      </c>
      <c r="H34" s="5">
        <f t="shared" si="0"/>
        <v>0.61599999999999999</v>
      </c>
      <c r="I34" s="11" t="str">
        <f t="shared" si="1"/>
        <v>Pass</v>
      </c>
    </row>
    <row r="35" spans="1:9" x14ac:dyDescent="0.3">
      <c r="A35" s="10">
        <v>34</v>
      </c>
      <c r="B35" s="3" t="s">
        <v>40</v>
      </c>
      <c r="C35" s="4">
        <v>27</v>
      </c>
      <c r="D35" s="4">
        <v>38</v>
      </c>
      <c r="E35" s="4">
        <v>26</v>
      </c>
      <c r="F35" s="4">
        <v>11</v>
      </c>
      <c r="G35" s="4">
        <v>12</v>
      </c>
      <c r="H35" s="5">
        <f t="shared" si="0"/>
        <v>0.22800000000000001</v>
      </c>
      <c r="I35" s="11" t="str">
        <f t="shared" si="1"/>
        <v>Fail</v>
      </c>
    </row>
    <row r="36" spans="1:9" x14ac:dyDescent="0.3">
      <c r="A36" s="10">
        <v>35</v>
      </c>
      <c r="B36" s="3" t="s">
        <v>41</v>
      </c>
      <c r="C36" s="4">
        <v>29</v>
      </c>
      <c r="D36" s="4">
        <v>87</v>
      </c>
      <c r="E36" s="4">
        <v>56</v>
      </c>
      <c r="F36" s="4">
        <v>60</v>
      </c>
      <c r="G36" s="4">
        <v>53</v>
      </c>
      <c r="H36" s="5">
        <f t="shared" si="0"/>
        <v>0.56999999999999995</v>
      </c>
      <c r="I36" s="11" t="str">
        <f t="shared" si="1"/>
        <v>Pass</v>
      </c>
    </row>
    <row r="37" spans="1:9" x14ac:dyDescent="0.3">
      <c r="A37" s="10">
        <v>36</v>
      </c>
      <c r="B37" s="3" t="s">
        <v>42</v>
      </c>
      <c r="C37" s="4">
        <v>33</v>
      </c>
      <c r="D37" s="4">
        <v>1</v>
      </c>
      <c r="E37" s="4">
        <v>4</v>
      </c>
      <c r="F37" s="4">
        <v>62</v>
      </c>
      <c r="G37" s="4">
        <v>54</v>
      </c>
      <c r="H37" s="5">
        <f t="shared" si="0"/>
        <v>0.308</v>
      </c>
      <c r="I37" s="11" t="str">
        <f t="shared" si="1"/>
        <v>Pass</v>
      </c>
    </row>
    <row r="38" spans="1:9" x14ac:dyDescent="0.3">
      <c r="A38" s="10">
        <v>37</v>
      </c>
      <c r="B38" s="3" t="s">
        <v>43</v>
      </c>
      <c r="C38" s="4">
        <v>5</v>
      </c>
      <c r="D38" s="4">
        <v>97</v>
      </c>
      <c r="E38" s="4">
        <v>72</v>
      </c>
      <c r="F38" s="4">
        <v>64</v>
      </c>
      <c r="G38" s="4">
        <v>59</v>
      </c>
      <c r="H38" s="5">
        <f t="shared" si="0"/>
        <v>0.59399999999999997</v>
      </c>
      <c r="I38" s="11" t="str">
        <f t="shared" si="1"/>
        <v>Pass</v>
      </c>
    </row>
    <row r="39" spans="1:9" x14ac:dyDescent="0.3">
      <c r="A39" s="10">
        <v>38</v>
      </c>
      <c r="B39" s="3" t="s">
        <v>44</v>
      </c>
      <c r="C39" s="4">
        <v>21</v>
      </c>
      <c r="D39" s="4">
        <v>39</v>
      </c>
      <c r="E39" s="4">
        <v>15</v>
      </c>
      <c r="F39" s="4">
        <v>23</v>
      </c>
      <c r="G39" s="4">
        <v>16</v>
      </c>
      <c r="H39" s="5">
        <f t="shared" si="0"/>
        <v>0.22800000000000001</v>
      </c>
      <c r="I39" s="11" t="str">
        <f t="shared" si="1"/>
        <v>Fail</v>
      </c>
    </row>
    <row r="40" spans="1:9" x14ac:dyDescent="0.3">
      <c r="A40" s="10">
        <v>39</v>
      </c>
      <c r="B40" s="3" t="s">
        <v>45</v>
      </c>
      <c r="C40" s="4">
        <v>13</v>
      </c>
      <c r="D40" s="4">
        <v>44</v>
      </c>
      <c r="E40" s="4">
        <v>80</v>
      </c>
      <c r="F40" s="4">
        <v>68</v>
      </c>
      <c r="G40" s="4">
        <v>65</v>
      </c>
      <c r="H40" s="5">
        <f t="shared" si="0"/>
        <v>0.54</v>
      </c>
      <c r="I40" s="11" t="str">
        <f t="shared" si="1"/>
        <v>Pass</v>
      </c>
    </row>
    <row r="41" spans="1:9" x14ac:dyDescent="0.3">
      <c r="A41" s="10">
        <v>40</v>
      </c>
      <c r="B41" s="3" t="s">
        <v>46</v>
      </c>
      <c r="C41" s="4">
        <v>9</v>
      </c>
      <c r="D41" s="4">
        <v>49</v>
      </c>
      <c r="E41" s="4">
        <v>15</v>
      </c>
      <c r="F41" s="4">
        <v>70</v>
      </c>
      <c r="G41" s="4">
        <v>68</v>
      </c>
      <c r="H41" s="5">
        <f t="shared" si="0"/>
        <v>0.42199999999999999</v>
      </c>
      <c r="I41" s="11" t="str">
        <f t="shared" si="1"/>
        <v>Pass</v>
      </c>
    </row>
    <row r="42" spans="1:9" x14ac:dyDescent="0.3">
      <c r="A42" s="10">
        <v>41</v>
      </c>
      <c r="B42" s="3" t="s">
        <v>47</v>
      </c>
      <c r="C42" s="4">
        <v>20</v>
      </c>
      <c r="D42" s="4">
        <v>54</v>
      </c>
      <c r="E42" s="4">
        <v>88</v>
      </c>
      <c r="F42" s="4">
        <v>72</v>
      </c>
      <c r="G42" s="4">
        <v>71</v>
      </c>
      <c r="H42" s="5">
        <f t="shared" si="0"/>
        <v>0.61</v>
      </c>
      <c r="I42" s="11" t="str">
        <f t="shared" si="1"/>
        <v>Pass</v>
      </c>
    </row>
    <row r="43" spans="1:9" x14ac:dyDescent="0.3">
      <c r="A43" s="10">
        <v>42</v>
      </c>
      <c r="B43" s="3" t="s">
        <v>48</v>
      </c>
      <c r="C43" s="4">
        <v>3</v>
      </c>
      <c r="D43" s="4">
        <v>59</v>
      </c>
      <c r="E43" s="4">
        <v>42</v>
      </c>
      <c r="F43" s="4">
        <v>74</v>
      </c>
      <c r="G43" s="4">
        <v>1</v>
      </c>
      <c r="H43" s="5">
        <f t="shared" si="0"/>
        <v>0.35799999999999998</v>
      </c>
      <c r="I43" s="11" t="str">
        <f t="shared" si="1"/>
        <v>Pass</v>
      </c>
    </row>
    <row r="44" spans="1:9" x14ac:dyDescent="0.3">
      <c r="A44" s="10">
        <v>43</v>
      </c>
      <c r="B44" s="3" t="s">
        <v>49</v>
      </c>
      <c r="C44" s="4">
        <v>32</v>
      </c>
      <c r="D44" s="4">
        <v>25</v>
      </c>
      <c r="E44" s="4">
        <v>23</v>
      </c>
      <c r="F44" s="4">
        <v>10</v>
      </c>
      <c r="G44" s="4">
        <v>23</v>
      </c>
      <c r="H44" s="5">
        <f t="shared" si="0"/>
        <v>0.22600000000000001</v>
      </c>
      <c r="I44" s="11" t="str">
        <f t="shared" si="1"/>
        <v>Fail</v>
      </c>
    </row>
    <row r="45" spans="1:9" x14ac:dyDescent="0.3">
      <c r="A45" s="10">
        <v>44</v>
      </c>
      <c r="B45" s="3" t="s">
        <v>50</v>
      </c>
      <c r="C45" s="4">
        <v>76</v>
      </c>
      <c r="D45" s="4">
        <v>15</v>
      </c>
      <c r="E45" s="4">
        <v>100</v>
      </c>
      <c r="F45" s="4">
        <v>78</v>
      </c>
      <c r="G45" s="4">
        <v>80</v>
      </c>
      <c r="H45" s="5">
        <f t="shared" si="0"/>
        <v>0.69799999999999995</v>
      </c>
      <c r="I45" s="11" t="str">
        <f t="shared" si="1"/>
        <v>Pass</v>
      </c>
    </row>
    <row r="46" spans="1:9" x14ac:dyDescent="0.3">
      <c r="A46" s="10">
        <v>45</v>
      </c>
      <c r="B46" s="3" t="s">
        <v>51</v>
      </c>
      <c r="C46" s="4">
        <v>23</v>
      </c>
      <c r="D46" s="4">
        <v>74</v>
      </c>
      <c r="E46" s="4">
        <v>45</v>
      </c>
      <c r="F46" s="4">
        <v>80</v>
      </c>
      <c r="G46" s="4">
        <v>83</v>
      </c>
      <c r="H46" s="5">
        <f t="shared" si="0"/>
        <v>0.61</v>
      </c>
      <c r="I46" s="11" t="str">
        <f t="shared" si="1"/>
        <v>Pass</v>
      </c>
    </row>
    <row r="47" spans="1:9" x14ac:dyDescent="0.3">
      <c r="A47" s="10">
        <v>46</v>
      </c>
      <c r="B47" s="3" t="s">
        <v>52</v>
      </c>
      <c r="C47" s="4">
        <v>46</v>
      </c>
      <c r="D47" s="4">
        <v>79</v>
      </c>
      <c r="E47" s="4">
        <v>56</v>
      </c>
      <c r="F47" s="4">
        <v>18</v>
      </c>
      <c r="G47" s="4">
        <v>86</v>
      </c>
      <c r="H47" s="5">
        <f t="shared" si="0"/>
        <v>0.56999999999999995</v>
      </c>
      <c r="I47" s="11" t="str">
        <f t="shared" si="1"/>
        <v>Pass</v>
      </c>
    </row>
    <row r="48" spans="1:9" x14ac:dyDescent="0.3">
      <c r="A48" s="10">
        <v>47</v>
      </c>
      <c r="B48" s="3" t="s">
        <v>53</v>
      </c>
      <c r="C48" s="4">
        <v>54</v>
      </c>
      <c r="D48" s="4">
        <v>84</v>
      </c>
      <c r="E48" s="4">
        <v>53</v>
      </c>
      <c r="F48" s="4">
        <v>84</v>
      </c>
      <c r="G48" s="4">
        <v>89</v>
      </c>
      <c r="H48" s="5">
        <f t="shared" si="0"/>
        <v>0.72799999999999998</v>
      </c>
      <c r="I48" s="11" t="str">
        <f t="shared" si="1"/>
        <v>Pass</v>
      </c>
    </row>
    <row r="49" spans="1:9" x14ac:dyDescent="0.3">
      <c r="A49" s="10">
        <v>48</v>
      </c>
      <c r="B49" s="3" t="s">
        <v>54</v>
      </c>
      <c r="C49" s="4">
        <v>1</v>
      </c>
      <c r="D49" s="4">
        <v>53</v>
      </c>
      <c r="E49" s="4">
        <v>15</v>
      </c>
      <c r="F49" s="4">
        <v>12</v>
      </c>
      <c r="G49" s="4">
        <v>3</v>
      </c>
      <c r="H49" s="5">
        <f t="shared" si="0"/>
        <v>0.16800000000000001</v>
      </c>
      <c r="I49" s="11" t="str">
        <f t="shared" si="1"/>
        <v>Fail</v>
      </c>
    </row>
    <row r="50" spans="1:9" x14ac:dyDescent="0.3">
      <c r="A50" s="10">
        <v>49</v>
      </c>
      <c r="B50" s="3" t="s">
        <v>55</v>
      </c>
      <c r="C50" s="4">
        <v>34</v>
      </c>
      <c r="D50" s="4">
        <v>94</v>
      </c>
      <c r="E50" s="4">
        <v>61</v>
      </c>
      <c r="F50" s="4">
        <v>88</v>
      </c>
      <c r="G50" s="4">
        <v>95</v>
      </c>
      <c r="H50" s="5">
        <f t="shared" si="0"/>
        <v>0.74399999999999999</v>
      </c>
      <c r="I50" s="11" t="str">
        <f t="shared" si="1"/>
        <v>Pass</v>
      </c>
    </row>
    <row r="51" spans="1:9" ht="15" thickBot="1" x14ac:dyDescent="0.35">
      <c r="A51" s="12">
        <v>50</v>
      </c>
      <c r="B51" s="13" t="s">
        <v>56</v>
      </c>
      <c r="C51" s="14">
        <v>64</v>
      </c>
      <c r="D51" s="14">
        <v>99</v>
      </c>
      <c r="E51" s="14">
        <v>1</v>
      </c>
      <c r="F51" s="14">
        <v>90</v>
      </c>
      <c r="G51" s="14">
        <v>98</v>
      </c>
      <c r="H51" s="15">
        <f t="shared" si="0"/>
        <v>0.70399999999999996</v>
      </c>
      <c r="I51" s="11" t="str">
        <f t="shared" si="1"/>
        <v>Pass</v>
      </c>
    </row>
  </sheetData>
  <conditionalFormatting sqref="C2:G51">
    <cfRule type="cellIs" dxfId="7" priority="13" operator="lessThan">
      <formula>23</formula>
    </cfRule>
    <cfRule type="cellIs" dxfId="6" priority="12" operator="greaterThan">
      <formula>22</formula>
    </cfRule>
  </conditionalFormatting>
  <conditionalFormatting sqref="I2:I51">
    <cfRule type="dataBar" priority="5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{0E2B98DE-F214-483C-9C1C-F890FB622C6C}</x14:id>
        </ext>
      </extLst>
    </cfRule>
  </conditionalFormatting>
  <conditionalFormatting sqref="I2:I51">
    <cfRule type="containsText" dxfId="5" priority="4" operator="containsText" text="Fail">
      <formula>NOT(ISERROR(SEARCH("Fail",I2)))</formula>
    </cfRule>
  </conditionalFormatting>
  <conditionalFormatting sqref="I3:I51">
    <cfRule type="containsText" dxfId="4" priority="3" operator="containsText" text="Pass">
      <formula>NOT(ISERROR(SEARCH("Pass",I3)))</formula>
    </cfRule>
  </conditionalFormatting>
  <conditionalFormatting sqref="H2:H51">
    <cfRule type="dataBar" priority="1">
      <dataBar>
        <cfvo type="min"/>
        <cfvo type="max"/>
        <color rgb="FFFF555A"/>
      </dataBar>
      <extLst>
        <ext xmlns:x14="http://schemas.microsoft.com/office/spreadsheetml/2009/9/main" uri="{B025F937-C7B1-47D3-B67F-A62EFF666E3E}">
          <x14:id>{CC66B048-0A8F-4414-A289-7026BC960FBB}</x14:id>
        </ext>
      </extLst>
    </cfRule>
  </conditionalFormatting>
  <pageMargins left="0.7" right="0.7" top="0.75" bottom="0.75" header="0.3" footer="0.3"/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dataBar" id="{0E2B98DE-F214-483C-9C1C-F890FB622C6C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I2:I51</xm:sqref>
        </x14:conditionalFormatting>
        <x14:conditionalFormatting xmlns:xm="http://schemas.microsoft.com/office/excel/2006/main">
          <x14:cfRule type="dataBar" id="{CC66B048-0A8F-4414-A289-7026BC960FBB}">
            <x14:dataBar minLength="0" maxLength="100" border="1" negativeBarBorderColorSameAsPositive="0">
              <x14:cfvo type="autoMin"/>
              <x14:cfvo type="autoMax"/>
              <x14:borderColor rgb="FFFF555A"/>
              <x14:negativeFillColor rgb="FFFF0000"/>
              <x14:negativeBorderColor rgb="FFFF0000"/>
              <x14:axisColor rgb="FF000000"/>
            </x14:dataBar>
          </x14:cfRule>
          <xm:sqref>H2:H51</xm:sqref>
        </x14:conditionalFormatting>
      </x14:conditionalFormattings>
    </ext>
  </extLst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Om Saini</dc:creator>
  <cp:lastModifiedBy>Om Saini</cp:lastModifiedBy>
  <dcterms:created xsi:type="dcterms:W3CDTF">2026-02-02T15:10:52Z</dcterms:created>
  <dcterms:modified xsi:type="dcterms:W3CDTF">2026-02-02T16:00:01Z</dcterms:modified>
</cp:coreProperties>
</file>